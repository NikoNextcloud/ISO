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ga\СИРИУС ГРУП С ЕООД\Досиета\РАЗРАБОТВАНЕ  И УПРАВЛЕНИЕ НА СИСТЕМИ\С-Тръст Груп ЕООД\2025\"/>
    </mc:Choice>
  </mc:AlternateContent>
  <xr:revisionPtr revIDLastSave="0" documentId="13_ncr:1_{D4E735F0-2A74-4FB4-8D3F-A7631CA519B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RT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1" l="1"/>
  <c r="R17" i="11"/>
  <c r="R18" i="11"/>
  <c r="R19" i="11"/>
  <c r="J17" i="11"/>
  <c r="J18" i="11"/>
  <c r="J19" i="11"/>
  <c r="J13" i="11"/>
  <c r="J16" i="11"/>
  <c r="P15" i="11" l="1"/>
  <c r="R15" i="11" s="1"/>
  <c r="J15" i="11"/>
  <c r="R14" i="11"/>
  <c r="J14" i="11"/>
  <c r="R13" i="11"/>
</calcChain>
</file>

<file path=xl/sharedStrings.xml><?xml version="1.0" encoding="utf-8"?>
<sst xmlns="http://schemas.openxmlformats.org/spreadsheetml/2006/main" count="107" uniqueCount="85">
  <si>
    <t>Структурна единица /съгласно СУК/</t>
  </si>
  <si>
    <t>Вероятност (1-3)</t>
  </si>
  <si>
    <t>Необходим ресурс</t>
  </si>
  <si>
    <t xml:space="preserve">Нова Вероятност (1-3) </t>
  </si>
  <si>
    <t>Срок</t>
  </si>
  <si>
    <t>Отговорник</t>
  </si>
  <si>
    <t>Становище</t>
  </si>
  <si>
    <t>Процес/Дейност/Обстоятелство/Услуга</t>
  </si>
  <si>
    <t>РИСКОВЕ</t>
  </si>
  <si>
    <t>Собственик на риска</t>
  </si>
  <si>
    <t>ПОСЛЕДСТВИЯ</t>
  </si>
  <si>
    <t>ВЪЗМОЖНОСТ</t>
  </si>
  <si>
    <t>Въздействие (1-4)</t>
  </si>
  <si>
    <t>Стойност на риска</t>
  </si>
  <si>
    <t>Ново въздействие (1-4)</t>
  </si>
  <si>
    <t>Ниво на риска след третиране (1-12)</t>
  </si>
  <si>
    <t>Третиране /П-Приемане, И-Избягване, Пр-Прехвърляне, Н-Намаляване/</t>
  </si>
  <si>
    <t xml:space="preserve">Мероприятия за третиране </t>
  </si>
  <si>
    <t xml:space="preserve">Наблюдение/измерване </t>
  </si>
  <si>
    <t>СТОЙНОСТ НА РИСКА = ВЪЗДЕЙСТВИЕ х ВЕРОЯТНОСТ</t>
  </si>
  <si>
    <t>Рискове с нива 6 и над 6, се включват в План за третиране на риска</t>
  </si>
  <si>
    <t>При риск 9 и над 9 се предприемат спешни мерки, включително временно преустановяване 
на процеса и избягване/прехвърляне на риска</t>
  </si>
  <si>
    <t>ТЪРГОВСКИ ПРОЦЕС</t>
  </si>
  <si>
    <t>ПРОУЧВАНЕ НА ПАЗАРИ И ТАРГЕТИРАНЕ НА ПОТЕНЦИАЛНИ КЛИЕНТИ</t>
  </si>
  <si>
    <t>Нефокусирано таргетиране на клиенти, което води до загуба на време без да води до нови сделки</t>
  </si>
  <si>
    <t>Ръководител на търговски отдел</t>
  </si>
  <si>
    <t>Загуба на ресурси. Загуба на време. Недостигане до сделка.</t>
  </si>
  <si>
    <t>Търговците се научават на ранен етап дали има смисъл да се инвестира в даден клиент</t>
  </si>
  <si>
    <t>Намаляване</t>
  </si>
  <si>
    <t>Наличен</t>
  </si>
  <si>
    <t>Остатъчния риск е приемлив</t>
  </si>
  <si>
    <t>Необходимо е периодично наблюдение на процеса</t>
  </si>
  <si>
    <t>Пропуснати ползи от лесен бизнес (последващ бизнес).</t>
  </si>
  <si>
    <t>Търговците се научават къде са сбъркали. Подобряват  търговските си умения.</t>
  </si>
  <si>
    <t>УПРАВЛЕНИЕ НА КЛИЕНТИ/АКАУНТИ</t>
  </si>
  <si>
    <t>Наблюдение прилагането на новата инструкция</t>
  </si>
  <si>
    <t>Приемане</t>
  </si>
  <si>
    <t>Приемаме риска</t>
  </si>
  <si>
    <t>ЗАТВАРЯНЕ НА СДЕЛКА</t>
  </si>
  <si>
    <t>Недостатъчна подготовка за сделката. Недобро офериране и представяне на решение. Неправилно преценяване на конкуренцията. Неправилни калкулация. Недобре договорени допълнителни условия (доставка,срок и др.). Кражба на активи.</t>
  </si>
  <si>
    <t>МАРКЕТИНГ</t>
  </si>
  <si>
    <t>АНАЛИЗ НА  ТЕНДЕНЦИИТЕ НА ПАЗАРА</t>
  </si>
  <si>
    <t xml:space="preserve">Използване на некоректни/неактуални данни.Недостатъчна информация за изготвянето на работещо изследване. </t>
  </si>
  <si>
    <t>Маркетинг Мениджър</t>
  </si>
  <si>
    <t>Нерелевантност на изследването. Пропуснати ползи и неправилно разпределение на маркетинговите ресурси.</t>
  </si>
  <si>
    <t>няма</t>
  </si>
  <si>
    <t>УЧАСТИЕ В СЪВМЕСТНИ СЪБИТИЯ С ПАРТНЬОРИ</t>
  </si>
  <si>
    <t>Ниска посещаемост; Незаинтересованост от страна на гостите.</t>
  </si>
  <si>
    <t>Нецеленасочено изразходване на маркетингов бюджет</t>
  </si>
  <si>
    <t>спестяване на средства вследствие на ниската посещаемост</t>
  </si>
  <si>
    <t>Планиране и провеждане на допълнителни търговски обучения, включително вътрешни, освобождаване на търговци при слаби резултати, назначаване на нови</t>
  </si>
  <si>
    <t>Избягване</t>
  </si>
  <si>
    <t>Не се провеждат масови мероприятия. Изчакване да се преустанови епидемилогичната обстановка</t>
  </si>
  <si>
    <t>Обучение, включително вътрешно за прилагане влиянието на извънредната обстановка върху маркетинговите проучвания</t>
  </si>
  <si>
    <t xml:space="preserve">до приключване на извънреднатa обстановка </t>
  </si>
  <si>
    <t>Утвърдил: Управител (СТАНИМИР НИКОЛОВ)</t>
  </si>
  <si>
    <t>Версия № 3</t>
  </si>
  <si>
    <t>Дата: 24.03.2025</t>
  </si>
  <si>
    <t>ИНФОРМАЦИОННА СИГУРНОСТ</t>
  </si>
  <si>
    <t>ЧОВЕШКИ РЕСУРСИ</t>
  </si>
  <si>
    <t>ДОСТАВКИ/СНАБДЯВАНЕ</t>
  </si>
  <si>
    <t>Киберсигурност и защита на данни</t>
  </si>
  <si>
    <t>Наличност и задържане на квалифицирани кадри</t>
  </si>
  <si>
    <t>Зависимост от доставчици и глобални вериги за доставки</t>
  </si>
  <si>
    <t>Нарушаване на сигурността, изтичане на данни, кибератаки, GDPR нарушения</t>
  </si>
  <si>
    <t>Трудности при наемане и задържане на специалисти, висока текучест</t>
  </si>
  <si>
    <t>Забавяния или липси в доставките на хардуер/услуги от външни партньори</t>
  </si>
  <si>
    <t>ИТ Мениджър/Служител по сигурността</t>
  </si>
  <si>
    <t>Финансови загуби, глоби, увреждане на репутацията, прекъсване на услугите</t>
  </si>
  <si>
    <t>HR Мениджър</t>
  </si>
  <si>
    <t>Недостиг на ключови компетенции, забавяне на проекти, увеличени разходи за наемане.</t>
  </si>
  <si>
    <t>Мениджър доставки</t>
  </si>
  <si>
    <t>Забавяне на проекти, финансови загуби, недоволни клиенти.</t>
  </si>
  <si>
    <t>По-голяма устойчивост на веригата за доставки</t>
  </si>
  <si>
    <t>Изграждане на employer brand, по-добра лоялност на персонала</t>
  </si>
  <si>
    <t>Повишаване на нивото на защита, укрепване на доверието на клиентите</t>
  </si>
  <si>
    <t>Внедряване на ISO 27001 политики, редовни тестове за проникване, обучения за персонала, бекъп и планове за непрекъсваемост.</t>
  </si>
  <si>
    <t>Разработване на програми за задържане на персонал, кариерно развитие, бонусни схеми, employer branding.</t>
  </si>
  <si>
    <t>Диверсификация на доставчиците, изграждане на буферни запаси, предварителни договори с алтернативни доставчици.</t>
  </si>
  <si>
    <t>Допълнителен</t>
  </si>
  <si>
    <t>31.12.2025</t>
  </si>
  <si>
    <t>Остатъчният риск е приемлив</t>
  </si>
  <si>
    <t>Редовни одити, SIEM мониторинг, KPI за инциденти</t>
  </si>
  <si>
    <t>Годишни анкети за удовлетвореност, HR KPI</t>
  </si>
  <si>
    <t>KPI за време на доставка, брой алтернативни доставчици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</si>
</sst>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9"/>
      <color indexed="8"/>
      <name val="Cambria"/>
      <family val="1"/>
      <charset val="204"/>
    </font>
    <font>
      <sz val="9"/>
      <name val="Cambria"/>
      <family val="1"/>
      <charset val="204"/>
    </font>
    <font>
      <sz val="9"/>
      <color indexed="8"/>
      <name val="Cambria"/>
      <family val="1"/>
      <charset val="204"/>
    </font>
    <font>
      <b/>
      <sz val="9"/>
      <name val="Cambria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Tahoma"/>
      <family val="2"/>
      <charset val="204"/>
    </font>
    <font>
      <b/>
      <sz val="11"/>
      <color theme="0"/>
      <name val="Calibri"/>
      <family val="2"/>
      <charset val="204"/>
    </font>
    <font>
      <b/>
      <sz val="9"/>
      <color theme="0"/>
      <name val="Cambria"/>
      <family val="1"/>
      <charset val="204"/>
    </font>
    <font>
      <sz val="9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48">
    <xf numFmtId="0" fontId="0" fillId="0" borderId="0" xfId="0"/>
    <xf numFmtId="0" fontId="2" fillId="0" borderId="0" xfId="1" applyAlignment="1">
      <alignment horizontal="center" vertical="center"/>
    </xf>
    <xf numFmtId="0" fontId="2" fillId="0" borderId="0" xfId="1" applyAlignment="1">
      <alignment horizontal="left" vertical="center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10" fillId="3" borderId="0" xfId="0" applyFont="1" applyFill="1" applyAlignment="1">
      <alignment horizontal="center" vertical="top"/>
    </xf>
    <xf numFmtId="0" fontId="10" fillId="3" borderId="0" xfId="0" applyFont="1" applyFill="1"/>
    <xf numFmtId="0" fontId="9" fillId="3" borderId="0" xfId="0" applyFont="1" applyFill="1" applyAlignment="1">
      <alignment horizontal="left" vertical="top" wrapText="1"/>
    </xf>
    <xf numFmtId="0" fontId="9" fillId="3" borderId="0" xfId="0" applyFont="1" applyFill="1"/>
    <xf numFmtId="0" fontId="9" fillId="3" borderId="0" xfId="0" applyFont="1" applyFill="1" applyAlignment="1">
      <alignment wrapText="1"/>
    </xf>
    <xf numFmtId="0" fontId="10" fillId="3" borderId="0" xfId="0" applyFont="1" applyFill="1" applyAlignment="1">
      <alignment horizontal="left" vertical="top" wrapText="1"/>
    </xf>
    <xf numFmtId="0" fontId="10" fillId="3" borderId="0" xfId="0" applyFont="1" applyFill="1" applyAlignment="1">
      <alignment wrapText="1"/>
    </xf>
    <xf numFmtId="0" fontId="11" fillId="3" borderId="0" xfId="0" applyFont="1" applyFill="1" applyAlignment="1">
      <alignment horizontal="center"/>
    </xf>
    <xf numFmtId="0" fontId="12" fillId="0" borderId="0" xfId="1" applyFont="1" applyAlignment="1">
      <alignment horizontal="center"/>
    </xf>
    <xf numFmtId="0" fontId="2" fillId="0" borderId="1" xfId="1" applyBorder="1" applyAlignment="1">
      <alignment horizontal="center" vertical="center" wrapText="1"/>
    </xf>
    <xf numFmtId="14" fontId="2" fillId="0" borderId="1" xfId="1" applyNumberForma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0" borderId="0" xfId="1" applyAlignment="1">
      <alignment wrapText="1"/>
    </xf>
    <xf numFmtId="0" fontId="10" fillId="0" borderId="1" xfId="0" applyFont="1" applyBorder="1" applyAlignment="1">
      <alignment wrapText="1"/>
    </xf>
    <xf numFmtId="0" fontId="6" fillId="5" borderId="1" xfId="1" applyFont="1" applyFill="1" applyBorder="1" applyAlignment="1">
      <alignment horizontal="center" vertical="center" wrapText="1"/>
    </xf>
    <xf numFmtId="14" fontId="2" fillId="0" borderId="0" xfId="1" applyNumberFormat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9" fillId="3" borderId="0" xfId="0" applyFont="1" applyFill="1" applyAlignment="1">
      <alignment horizontal="left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0</xdr:rowOff>
        </xdr:from>
        <xdr:to>
          <xdr:col>8</xdr:col>
          <xdr:colOff>276497</xdr:colOff>
          <xdr:row>0</xdr:row>
          <xdr:rowOff>1287780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0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1"/>
  <sheetViews>
    <sheetView tabSelected="1" topLeftCell="L14" zoomScale="70" zoomScaleNormal="70" workbookViewId="0">
      <selection activeCell="S18" sqref="S18"/>
    </sheetView>
  </sheetViews>
  <sheetFormatPr defaultColWidth="9.109375" defaultRowHeight="14.4" x14ac:dyDescent="0.3"/>
  <cols>
    <col min="1" max="1" width="3.88671875" style="22" customWidth="1"/>
    <col min="2" max="2" width="21.109375" style="1" customWidth="1"/>
    <col min="3" max="3" width="18.5546875" style="2" customWidth="1"/>
    <col min="4" max="4" width="27" style="3" customWidth="1"/>
    <col min="5" max="5" width="20.109375" style="3" customWidth="1"/>
    <col min="6" max="6" width="22.6640625" style="3" customWidth="1"/>
    <col min="7" max="7" width="16.44140625" style="3" customWidth="1"/>
    <col min="8" max="8" width="14.33203125" style="3" customWidth="1"/>
    <col min="9" max="9" width="15.6640625" style="3" customWidth="1"/>
    <col min="10" max="10" width="9.44140625" style="4" customWidth="1"/>
    <col min="11" max="11" width="24.44140625" style="4" customWidth="1"/>
    <col min="12" max="12" width="23.109375" style="39" customWidth="1"/>
    <col min="13" max="13" width="28.6640625" style="3" customWidth="1"/>
    <col min="14" max="14" width="17.33203125" style="3" customWidth="1"/>
    <col min="15" max="15" width="12.6640625" style="3" customWidth="1"/>
    <col min="16" max="16" width="17.5546875" style="3" customWidth="1"/>
    <col min="17" max="17" width="12.88671875" style="3" customWidth="1"/>
    <col min="18" max="18" width="11.33203125" style="3" customWidth="1"/>
    <col min="19" max="19" width="14.6640625" style="3" customWidth="1"/>
    <col min="20" max="20" width="14.33203125" style="3" customWidth="1"/>
    <col min="21" max="21" width="32.88671875" style="3" customWidth="1"/>
    <col min="22" max="16384" width="9.109375" style="3"/>
  </cols>
  <sheetData>
    <row r="1" spans="1:20" ht="127.5" customHeight="1" x14ac:dyDescent="0.3"/>
    <row r="2" spans="1:20" ht="17.25" customHeight="1" x14ac:dyDescent="0.3">
      <c r="B2" s="15"/>
      <c r="C2" s="15"/>
      <c r="D2" s="15"/>
      <c r="E2" s="16"/>
      <c r="F2" s="14"/>
      <c r="G2" s="14"/>
    </row>
    <row r="3" spans="1:20" ht="17.25" customHeight="1" x14ac:dyDescent="0.3">
      <c r="B3" s="14">
        <v>1</v>
      </c>
      <c r="C3" s="17" t="s">
        <v>19</v>
      </c>
      <c r="D3" s="18"/>
      <c r="E3" s="19"/>
      <c r="F3" s="14"/>
      <c r="G3" s="14"/>
    </row>
    <row r="4" spans="1:20" ht="17.25" customHeight="1" x14ac:dyDescent="0.3">
      <c r="B4" s="14"/>
      <c r="C4" s="15"/>
      <c r="D4" s="15"/>
      <c r="E4" s="15"/>
      <c r="F4" s="15"/>
      <c r="G4" s="15"/>
    </row>
    <row r="5" spans="1:20" ht="17.25" customHeight="1" x14ac:dyDescent="0.3">
      <c r="B5" s="14">
        <v>2</v>
      </c>
      <c r="C5" s="17" t="s">
        <v>20</v>
      </c>
      <c r="D5" s="20"/>
      <c r="E5" s="19"/>
      <c r="F5" s="14"/>
      <c r="G5" s="14"/>
    </row>
    <row r="6" spans="1:20" ht="17.25" customHeight="1" x14ac:dyDescent="0.3">
      <c r="B6" s="14"/>
      <c r="C6" s="17"/>
      <c r="D6" s="20"/>
      <c r="E6" s="19"/>
      <c r="F6" s="14"/>
      <c r="G6" s="14"/>
    </row>
    <row r="7" spans="1:20" ht="27" customHeight="1" x14ac:dyDescent="0.3">
      <c r="B7" s="21">
        <v>3</v>
      </c>
      <c r="C7" s="44" t="s">
        <v>21</v>
      </c>
      <c r="D7" s="44"/>
      <c r="E7" s="44"/>
      <c r="F7" s="44"/>
      <c r="G7" s="44"/>
    </row>
    <row r="8" spans="1:20" ht="17.25" customHeight="1" x14ac:dyDescent="0.3">
      <c r="B8" s="3"/>
      <c r="C8" s="3"/>
    </row>
    <row r="9" spans="1:20" ht="17.25" customHeight="1" x14ac:dyDescent="0.3"/>
    <row r="10" spans="1:20" s="5" customFormat="1" ht="66" customHeight="1" x14ac:dyDescent="0.25">
      <c r="A10" s="26"/>
      <c r="B10" s="25" t="s">
        <v>0</v>
      </c>
      <c r="C10" s="25" t="s">
        <v>7</v>
      </c>
      <c r="D10" s="25" t="s">
        <v>8</v>
      </c>
      <c r="E10" s="25" t="s">
        <v>9</v>
      </c>
      <c r="F10" s="25" t="s">
        <v>10</v>
      </c>
      <c r="G10" s="25" t="s">
        <v>11</v>
      </c>
      <c r="H10" s="25" t="s">
        <v>12</v>
      </c>
      <c r="I10" s="25" t="s">
        <v>1</v>
      </c>
      <c r="J10" s="25" t="s">
        <v>13</v>
      </c>
      <c r="K10" s="25" t="s">
        <v>16</v>
      </c>
      <c r="L10" s="27" t="s">
        <v>17</v>
      </c>
      <c r="M10" s="27" t="s">
        <v>2</v>
      </c>
      <c r="N10" s="27" t="s">
        <v>4</v>
      </c>
      <c r="O10" s="27" t="s">
        <v>5</v>
      </c>
      <c r="P10" s="27" t="s">
        <v>14</v>
      </c>
      <c r="Q10" s="27" t="s">
        <v>3</v>
      </c>
      <c r="R10" s="27" t="s">
        <v>15</v>
      </c>
      <c r="S10" s="27" t="s">
        <v>6</v>
      </c>
      <c r="T10" s="27" t="s">
        <v>18</v>
      </c>
    </row>
    <row r="11" spans="1:20" customFormat="1" ht="13.2" hidden="1" x14ac:dyDescent="0.25">
      <c r="A11" s="28"/>
      <c r="B11" s="29"/>
      <c r="C11" s="6"/>
      <c r="D11" s="6"/>
      <c r="E11" s="7"/>
      <c r="F11" s="8"/>
      <c r="G11" s="30"/>
      <c r="H11" s="31"/>
      <c r="I11" s="9"/>
      <c r="J11" s="9"/>
      <c r="K11" s="10"/>
      <c r="L11" s="36"/>
      <c r="M11" s="11"/>
      <c r="N11" s="11"/>
      <c r="O11" s="11"/>
      <c r="P11" s="11"/>
      <c r="Q11" s="11"/>
      <c r="R11" s="11"/>
      <c r="S11" s="12"/>
      <c r="T11" s="12"/>
    </row>
    <row r="12" spans="1:20" customFormat="1" ht="13.2" hidden="1" x14ac:dyDescent="0.25">
      <c r="A12" s="28"/>
      <c r="B12" s="29"/>
      <c r="C12" s="6"/>
      <c r="D12" s="6"/>
      <c r="E12" s="7"/>
      <c r="F12" s="8"/>
      <c r="G12" s="30"/>
      <c r="H12" s="31"/>
      <c r="I12" s="9"/>
      <c r="J12" s="9"/>
      <c r="K12" s="10"/>
      <c r="L12" s="36"/>
      <c r="M12" s="11"/>
      <c r="N12" s="11"/>
      <c r="O12" s="11"/>
      <c r="P12" s="11"/>
      <c r="Q12" s="11"/>
      <c r="R12" s="11"/>
      <c r="S12" s="12"/>
      <c r="T12" s="12"/>
    </row>
    <row r="13" spans="1:20" customFormat="1" ht="79.2" x14ac:dyDescent="0.25">
      <c r="A13" s="32">
        <v>1</v>
      </c>
      <c r="B13" s="41" t="s">
        <v>22</v>
      </c>
      <c r="C13" s="33" t="s">
        <v>23</v>
      </c>
      <c r="D13" s="34" t="s">
        <v>24</v>
      </c>
      <c r="E13" s="34" t="s">
        <v>25</v>
      </c>
      <c r="F13" s="34" t="s">
        <v>26</v>
      </c>
      <c r="G13" s="36" t="s">
        <v>27</v>
      </c>
      <c r="H13" s="37">
        <v>3</v>
      </c>
      <c r="I13" s="37">
        <v>2</v>
      </c>
      <c r="J13" s="38">
        <f>H13*I13</f>
        <v>6</v>
      </c>
      <c r="K13" s="10" t="s">
        <v>36</v>
      </c>
      <c r="L13" s="40"/>
      <c r="M13" s="23"/>
      <c r="N13" s="24"/>
      <c r="O13" s="34"/>
      <c r="P13" s="13">
        <v>3</v>
      </c>
      <c r="Q13" s="13">
        <v>1</v>
      </c>
      <c r="R13" s="38">
        <f>P13*Q13</f>
        <v>3</v>
      </c>
      <c r="S13" s="23" t="s">
        <v>37</v>
      </c>
      <c r="T13" s="23" t="s">
        <v>31</v>
      </c>
    </row>
    <row r="14" spans="1:20" customFormat="1" ht="132" x14ac:dyDescent="0.25">
      <c r="A14" s="32">
        <v>2</v>
      </c>
      <c r="B14" s="41" t="s">
        <v>34</v>
      </c>
      <c r="C14" s="43" t="s">
        <v>38</v>
      </c>
      <c r="D14" s="34" t="s">
        <v>39</v>
      </c>
      <c r="E14" s="34" t="s">
        <v>25</v>
      </c>
      <c r="F14" s="34" t="s">
        <v>32</v>
      </c>
      <c r="G14" s="36" t="s">
        <v>33</v>
      </c>
      <c r="H14" s="35">
        <v>3</v>
      </c>
      <c r="I14" s="37">
        <v>2</v>
      </c>
      <c r="J14" s="38">
        <f t="shared" ref="J14" si="0">H14*I14</f>
        <v>6</v>
      </c>
      <c r="K14" s="10" t="s">
        <v>28</v>
      </c>
      <c r="L14" s="40" t="s">
        <v>50</v>
      </c>
      <c r="M14" s="23" t="s">
        <v>29</v>
      </c>
      <c r="N14" s="24">
        <v>46003</v>
      </c>
      <c r="O14" s="34" t="s">
        <v>25</v>
      </c>
      <c r="P14" s="13">
        <v>2</v>
      </c>
      <c r="Q14" s="13">
        <v>1</v>
      </c>
      <c r="R14" s="38">
        <f>P14*Q14</f>
        <v>2</v>
      </c>
      <c r="S14" s="23" t="s">
        <v>30</v>
      </c>
      <c r="T14" s="23" t="s">
        <v>31</v>
      </c>
    </row>
    <row r="15" spans="1:20" customFormat="1" ht="92.4" x14ac:dyDescent="0.25">
      <c r="A15" s="32">
        <v>3</v>
      </c>
      <c r="B15" s="41" t="s">
        <v>40</v>
      </c>
      <c r="C15" s="43" t="s">
        <v>41</v>
      </c>
      <c r="D15" s="34" t="s">
        <v>42</v>
      </c>
      <c r="E15" s="34" t="s">
        <v>43</v>
      </c>
      <c r="F15" s="34" t="s">
        <v>44</v>
      </c>
      <c r="G15" s="11" t="s">
        <v>45</v>
      </c>
      <c r="H15" s="37">
        <v>3</v>
      </c>
      <c r="I15" s="37">
        <v>2</v>
      </c>
      <c r="J15" s="38">
        <f t="shared" ref="J15" si="1">H15*I15</f>
        <v>6</v>
      </c>
      <c r="K15" s="10" t="s">
        <v>28</v>
      </c>
      <c r="L15" s="40" t="s">
        <v>53</v>
      </c>
      <c r="M15" s="23" t="s">
        <v>29</v>
      </c>
      <c r="N15" s="24">
        <v>46022</v>
      </c>
      <c r="O15" s="34" t="s">
        <v>43</v>
      </c>
      <c r="P15" s="13">
        <f>H15</f>
        <v>3</v>
      </c>
      <c r="Q15" s="13">
        <v>2</v>
      </c>
      <c r="R15" s="38">
        <f t="shared" ref="R15:R19" si="2">P15*Q15</f>
        <v>6</v>
      </c>
      <c r="S15" s="23" t="s">
        <v>30</v>
      </c>
      <c r="T15" s="23" t="s">
        <v>35</v>
      </c>
    </row>
    <row r="16" spans="1:20" customFormat="1" ht="66" x14ac:dyDescent="0.25">
      <c r="A16" s="32">
        <v>4</v>
      </c>
      <c r="B16" s="43" t="s">
        <v>40</v>
      </c>
      <c r="C16" s="43" t="s">
        <v>46</v>
      </c>
      <c r="D16" s="34" t="s">
        <v>47</v>
      </c>
      <c r="E16" s="34" t="s">
        <v>43</v>
      </c>
      <c r="F16" s="34" t="s">
        <v>48</v>
      </c>
      <c r="G16" s="36" t="s">
        <v>49</v>
      </c>
      <c r="H16" s="37">
        <v>2</v>
      </c>
      <c r="I16" s="37">
        <v>3</v>
      </c>
      <c r="J16" s="38">
        <f t="shared" ref="J16:J17" si="3">H16*I16</f>
        <v>6</v>
      </c>
      <c r="K16" s="10" t="s">
        <v>51</v>
      </c>
      <c r="L16" s="40" t="s">
        <v>52</v>
      </c>
      <c r="M16" s="23"/>
      <c r="N16" s="24" t="s">
        <v>54</v>
      </c>
      <c r="O16" s="34" t="s">
        <v>43</v>
      </c>
      <c r="P16" s="13">
        <v>2</v>
      </c>
      <c r="Q16" s="13">
        <v>2</v>
      </c>
      <c r="R16" s="38">
        <f t="shared" si="2"/>
        <v>4</v>
      </c>
      <c r="S16" s="23"/>
      <c r="T16" s="23"/>
    </row>
    <row r="17" spans="1:20" customFormat="1" ht="79.2" x14ac:dyDescent="0.25">
      <c r="A17" s="32">
        <v>5</v>
      </c>
      <c r="B17" s="41" t="s">
        <v>58</v>
      </c>
      <c r="C17" s="43" t="s">
        <v>61</v>
      </c>
      <c r="D17" s="34" t="s">
        <v>64</v>
      </c>
      <c r="E17" s="34" t="s">
        <v>67</v>
      </c>
      <c r="F17" s="34" t="s">
        <v>68</v>
      </c>
      <c r="G17" s="36" t="s">
        <v>75</v>
      </c>
      <c r="H17" s="37">
        <v>4</v>
      </c>
      <c r="I17" s="37">
        <v>2</v>
      </c>
      <c r="J17" s="38">
        <f t="shared" si="3"/>
        <v>8</v>
      </c>
      <c r="K17" s="10" t="s">
        <v>28</v>
      </c>
      <c r="L17" s="40" t="s">
        <v>76</v>
      </c>
      <c r="M17" s="23" t="s">
        <v>79</v>
      </c>
      <c r="N17" s="24" t="s">
        <v>80</v>
      </c>
      <c r="O17" s="34" t="s">
        <v>67</v>
      </c>
      <c r="P17" s="13">
        <v>3</v>
      </c>
      <c r="Q17" s="13">
        <v>1</v>
      </c>
      <c r="R17" s="38">
        <f t="shared" si="2"/>
        <v>3</v>
      </c>
      <c r="S17" s="23" t="s">
        <v>81</v>
      </c>
      <c r="T17" s="23" t="s">
        <v>82</v>
      </c>
    </row>
    <row r="18" spans="1:20" customFormat="1" ht="66" x14ac:dyDescent="0.25">
      <c r="A18" s="32">
        <v>6</v>
      </c>
      <c r="B18" s="43" t="s">
        <v>59</v>
      </c>
      <c r="C18" s="43" t="s">
        <v>62</v>
      </c>
      <c r="D18" s="34" t="s">
        <v>65</v>
      </c>
      <c r="E18" s="34" t="s">
        <v>69</v>
      </c>
      <c r="F18" s="34" t="s">
        <v>70</v>
      </c>
      <c r="G18" s="36" t="s">
        <v>74</v>
      </c>
      <c r="H18" s="37">
        <v>3</v>
      </c>
      <c r="I18" s="37">
        <v>3</v>
      </c>
      <c r="J18" s="38">
        <f t="shared" ref="J18:J19" si="4">H18*I18</f>
        <v>9</v>
      </c>
      <c r="K18" s="10" t="s">
        <v>28</v>
      </c>
      <c r="L18" s="40" t="s">
        <v>77</v>
      </c>
      <c r="M18" s="23" t="s">
        <v>79</v>
      </c>
      <c r="N18" s="24" t="s">
        <v>80</v>
      </c>
      <c r="O18" s="34" t="s">
        <v>69</v>
      </c>
      <c r="P18" s="13">
        <v>3</v>
      </c>
      <c r="Q18" s="13">
        <v>2</v>
      </c>
      <c r="R18" s="38">
        <f t="shared" si="2"/>
        <v>6</v>
      </c>
      <c r="S18" s="23" t="s">
        <v>81</v>
      </c>
      <c r="T18" s="23" t="s">
        <v>83</v>
      </c>
    </row>
    <row r="19" spans="1:20" ht="79.8" x14ac:dyDescent="0.3">
      <c r="A19" s="32">
        <v>7</v>
      </c>
      <c r="B19" s="41" t="s">
        <v>60</v>
      </c>
      <c r="C19" s="43" t="s">
        <v>63</v>
      </c>
      <c r="D19" s="34" t="s">
        <v>66</v>
      </c>
      <c r="E19" s="34" t="s">
        <v>71</v>
      </c>
      <c r="F19" s="34" t="s">
        <v>72</v>
      </c>
      <c r="G19" s="36" t="s">
        <v>73</v>
      </c>
      <c r="H19" s="37">
        <v>3</v>
      </c>
      <c r="I19" s="37">
        <v>2</v>
      </c>
      <c r="J19" s="38">
        <f t="shared" si="4"/>
        <v>6</v>
      </c>
      <c r="K19" s="10" t="s">
        <v>28</v>
      </c>
      <c r="L19" s="40" t="s">
        <v>78</v>
      </c>
      <c r="M19" s="23" t="s">
        <v>29</v>
      </c>
      <c r="N19" s="24" t="s">
        <v>80</v>
      </c>
      <c r="O19" s="34" t="s">
        <v>71</v>
      </c>
      <c r="P19" s="13">
        <v>2</v>
      </c>
      <c r="Q19" s="13">
        <v>2</v>
      </c>
      <c r="R19" s="38">
        <f t="shared" si="2"/>
        <v>4</v>
      </c>
      <c r="S19" s="23" t="s">
        <v>81</v>
      </c>
      <c r="T19" s="23" t="s">
        <v>84</v>
      </c>
    </row>
    <row r="20" spans="1:20" ht="15" thickBot="1" x14ac:dyDescent="0.35">
      <c r="B20" s="42" t="s">
        <v>57</v>
      </c>
    </row>
    <row r="21" spans="1:20" ht="15" thickBot="1" x14ac:dyDescent="0.35">
      <c r="B21" s="45" t="s">
        <v>56</v>
      </c>
      <c r="C21" s="46" t="s">
        <v>55</v>
      </c>
      <c r="D21" s="47"/>
    </row>
  </sheetData>
  <mergeCells count="2">
    <mergeCell ref="C7:G7"/>
    <mergeCell ref="C21:D21"/>
  </mergeCells>
  <pageMargins left="0.7" right="0.7" top="0.75" bottom="0.75" header="0.3" footer="0.3"/>
  <pageSetup scale="28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8434" r:id="rId4">
          <objectPr defaultSize="0" r:id="rId5">
            <anchor moveWithCells="1">
              <from>
                <xdr:col>0</xdr:col>
                <xdr:colOff>83820</xdr:colOff>
                <xdr:row>0</xdr:row>
                <xdr:rowOff>0</xdr:rowOff>
              </from>
              <to>
                <xdr:col>8</xdr:col>
                <xdr:colOff>274320</xdr:colOff>
                <xdr:row>0</xdr:row>
                <xdr:rowOff>1287780</xdr:rowOff>
              </to>
            </anchor>
          </objectPr>
        </oleObject>
      </mc:Choice>
      <mc:Fallback>
        <oleObject progId="Word.Document.8" shapeId="18434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531C0F-46F7-40D3-8C40-682C67D32A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BC1ACF-130B-4E85-8C56-61A741EEDE54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7697015-82D9-41D5-BED7-C7302FAD7D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RTP</vt:lpstr>
    </vt:vector>
  </TitlesOfParts>
  <Company>S&amp;T Bulgaria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Jack Glasserman</dc:creator>
  <cp:lastModifiedBy>Ekaterina Georgieva</cp:lastModifiedBy>
  <cp:lastPrinted>2011-10-11T14:41:03Z</cp:lastPrinted>
  <dcterms:created xsi:type="dcterms:W3CDTF">2009-07-06T07:24:36Z</dcterms:created>
  <dcterms:modified xsi:type="dcterms:W3CDTF">2025-09-26T06:28:40Z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