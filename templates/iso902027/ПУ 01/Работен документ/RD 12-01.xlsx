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WORK2017\S&amp;T\Документация ISO\Документация ISO\ПУ 1\Работен документ\"/>
    </mc:Choice>
  </mc:AlternateContent>
  <bookViews>
    <workbookView xWindow="240" yWindow="96" windowWidth="15600" windowHeight="10968"/>
  </bookViews>
  <sheets>
    <sheet name="sub_contractors" sheetId="1" r:id="rId1"/>
    <sheet name="suppliers" sheetId="2" r:id="rId2"/>
    <sheet name="List of suppliers" sheetId="3" r:id="rId3"/>
  </sheets>
  <definedNames>
    <definedName name="_xlnm.Print_Area" localSheetId="2">'List of suppliers'!$A$11:$W$20</definedName>
  </definedNames>
  <calcPr calcId="162913"/>
</workbook>
</file>

<file path=xl/calcChain.xml><?xml version="1.0" encoding="utf-8"?>
<calcChain xmlns="http://schemas.openxmlformats.org/spreadsheetml/2006/main">
  <c r="I19" i="1" l="1"/>
  <c r="I22" i="2"/>
  <c r="I14" i="2"/>
  <c r="I15" i="2"/>
  <c r="I16" i="2"/>
  <c r="I17" i="2"/>
  <c r="I18" i="2"/>
  <c r="I19" i="2"/>
  <c r="I20" i="2"/>
  <c r="I21" i="2"/>
  <c r="Y18" i="3"/>
  <c r="Y17" i="3"/>
  <c r="Y19" i="3"/>
  <c r="I13" i="2"/>
  <c r="I15" i="1"/>
  <c r="I18" i="1"/>
  <c r="I17" i="1"/>
  <c r="I16" i="1"/>
  <c r="I14" i="1"/>
  <c r="I13" i="1"/>
  <c r="I23" i="2" l="1"/>
  <c r="I24" i="2" s="1"/>
  <c r="I20" i="1"/>
  <c r="I21" i="1" s="1"/>
</calcChain>
</file>

<file path=xl/sharedStrings.xml><?xml version="1.0" encoding="utf-8"?>
<sst xmlns="http://schemas.openxmlformats.org/spreadsheetml/2006/main" count="142" uniqueCount="73">
  <si>
    <t>No</t>
  </si>
  <si>
    <t>Много добро</t>
  </si>
  <si>
    <t>К1</t>
  </si>
  <si>
    <t>К2</t>
  </si>
  <si>
    <t>К3</t>
  </si>
  <si>
    <t>К4</t>
  </si>
  <si>
    <t>К5</t>
  </si>
  <si>
    <t>Адекватно отстраняване на сигнали и рекламации</t>
  </si>
  <si>
    <t>К6</t>
  </si>
  <si>
    <t>Ниво на комуникация (тежест 0.1-1.0)</t>
  </si>
  <si>
    <t>ОБЩО</t>
  </si>
  <si>
    <t>Незадоволително</t>
  </si>
  <si>
    <t>Средно</t>
  </si>
  <si>
    <t>Добро</t>
  </si>
  <si>
    <t>Отлично</t>
  </si>
  <si>
    <t>Качествено изпълнение 
на възложените дейности (тежест 0.1-1.0)</t>
  </si>
  <si>
    <t>Изпълнение на договорените 
дейности в срок (тежест 0.1-1.0)</t>
  </si>
  <si>
    <t>Икономически изгодни 
условия (тежест 0.1-1.0)</t>
  </si>
  <si>
    <t>Капацитет на изпълнение 
на възложените дейности (тежест 0.1-1.0)</t>
  </si>
  <si>
    <t>Дейност</t>
  </si>
  <si>
    <t>Точки</t>
  </si>
  <si>
    <t>СУМА</t>
  </si>
  <si>
    <t>ОЦЕНКА</t>
  </si>
  <si>
    <t>Становище:</t>
  </si>
  <si>
    <t>Направената Оценка покрива изискванията за над 70% одобрение по зададените критерии.</t>
  </si>
  <si>
    <t>Не може 
да се оцени</t>
  </si>
  <si>
    <t>Обща оценка равна или по-голяма от 3,25 (70% от максималната оценка)</t>
  </si>
  <si>
    <t>Име, подпис</t>
  </si>
  <si>
    <t>...........................................................................................................................................................................................................</t>
  </si>
  <si>
    <t>Изготвил Оценката: ..........................................</t>
  </si>
  <si>
    <t>Дата: .................................................................</t>
  </si>
  <si>
    <t>Дата: .........................................</t>
  </si>
  <si>
    <t>Одобрил: .................................</t>
  </si>
  <si>
    <t>Възможност за доствка в срок (тежест 0.1-1.0)</t>
  </si>
  <si>
    <t>Конкурентна цена (тежест 0.1-1.0)</t>
  </si>
  <si>
    <t>Капацитет на изпълнение 
на количествените показатели (тежест 0.1-1.0)</t>
  </si>
  <si>
    <t>Предимства при заплащането - отстъпки, разсрочено плащане и др.</t>
  </si>
  <si>
    <t>Складова номенклатура - асортимент на предлаганите продукти, услуги(тежест 0.1-1.0)</t>
  </si>
  <si>
    <t>К7</t>
  </si>
  <si>
    <t>К8</t>
  </si>
  <si>
    <t>К9</t>
  </si>
  <si>
    <t>Ниво на обслужване</t>
  </si>
  <si>
    <t>Адекватност при сигнали и рекламации</t>
  </si>
  <si>
    <t>Осигурен и качествен сервиз</t>
  </si>
  <si>
    <t>Доказана способност за доставка на качествен, съответстващ на изискванията продукт (тежест 0.1-1.0)</t>
  </si>
  <si>
    <t>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</si>
  <si>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</t>
  </si>
  <si>
    <t>Предлагам доставчика да се утвърди поради .........................................................................................................................</t>
  </si>
  <si>
    <t>Създадена на база приетата методика 
за оценка на доставчици</t>
  </si>
  <si>
    <t>№</t>
  </si>
  <si>
    <t>Тип</t>
  </si>
  <si>
    <t>Продукт/услуга</t>
  </si>
  <si>
    <t>Оценка по критерии</t>
  </si>
  <si>
    <t>ОБЩА ОЦЕНКА</t>
  </si>
  <si>
    <t>коеф.</t>
  </si>
  <si>
    <t xml:space="preserve">Дата: </t>
  </si>
  <si>
    <t>.....................................</t>
  </si>
  <si>
    <t>Наименование на доставчика
/подизпълнителя</t>
  </si>
  <si>
    <t>Утвърдил: ...........................</t>
  </si>
  <si>
    <t>x</t>
  </si>
  <si>
    <t>ОЦЕНКА НА ДОСТАВЧИК</t>
  </si>
  <si>
    <t>ИМЕ НА доставчика</t>
  </si>
  <si>
    <t>K10</t>
  </si>
  <si>
    <t>Проверка в Търговски регистър на Ангенцията по вписванията и публичният бюлетин по ДДС</t>
  </si>
  <si>
    <t>К10</t>
  </si>
  <si>
    <r>
      <t xml:space="preserve">Предлагам </t>
    </r>
    <r>
      <rPr>
        <sz val="8"/>
        <color rgb="FFFF0000"/>
        <rFont val="Calibri"/>
        <family val="2"/>
        <charset val="204"/>
        <scheme val="minor"/>
      </rPr>
      <t>подизпълнителя</t>
    </r>
    <r>
      <rPr>
        <sz val="8"/>
        <color theme="1"/>
        <rFont val="Calibri"/>
        <family val="2"/>
        <charset val="204"/>
        <scheme val="minor"/>
      </rPr>
      <t xml:space="preserve"> да се утвърди поради .........................................................................................................................</t>
    </r>
  </si>
  <si>
    <r>
      <rPr>
        <b/>
        <u/>
        <sz val="8"/>
        <rFont val="Wingdings"/>
        <charset val="2"/>
      </rPr>
      <t>x</t>
    </r>
    <r>
      <rPr>
        <b/>
        <u/>
        <sz val="8"/>
        <rFont val="Arial"/>
        <family val="2"/>
      </rPr>
      <t xml:space="preserve"> Доставчик    </t>
    </r>
    <r>
      <rPr>
        <sz val="8"/>
        <rFont val="Arial"/>
        <family val="2"/>
      </rPr>
      <t xml:space="preserve">                  </t>
    </r>
    <r>
      <rPr>
        <sz val="8"/>
        <rFont val="Wingdings"/>
        <charset val="2"/>
      </rPr>
      <t>o</t>
    </r>
    <r>
      <rPr>
        <sz val="8"/>
        <rFont val="Arial"/>
        <family val="2"/>
      </rPr>
      <t xml:space="preserve"> Подизпълнител</t>
    </r>
  </si>
  <si>
    <r>
      <t>o</t>
    </r>
    <r>
      <rPr>
        <sz val="8"/>
        <rFont val="Arial"/>
        <family val="2"/>
      </rPr>
      <t xml:space="preserve"> Доставчик                      </t>
    </r>
    <r>
      <rPr>
        <b/>
        <u/>
        <sz val="8"/>
        <rFont val="Wingdings"/>
        <charset val="2"/>
      </rPr>
      <t>x</t>
    </r>
    <r>
      <rPr>
        <b/>
        <u/>
        <sz val="8"/>
        <rFont val="Arial"/>
        <family val="2"/>
      </rPr>
      <t xml:space="preserve"> Подизпълнител</t>
    </r>
  </si>
  <si>
    <r>
      <t>o</t>
    </r>
    <r>
      <rPr>
        <sz val="8"/>
        <rFont val="Arial"/>
        <family val="2"/>
      </rPr>
      <t xml:space="preserve"> Доставчик                      </t>
    </r>
    <r>
      <rPr>
        <sz val="8"/>
        <rFont val="Wingdings"/>
        <charset val="2"/>
      </rPr>
      <t>o</t>
    </r>
    <r>
      <rPr>
        <sz val="8"/>
        <rFont val="Arial"/>
        <family val="2"/>
      </rPr>
      <t xml:space="preserve"> Подизпълнител</t>
    </r>
  </si>
  <si>
    <t>ОЦЕНКА НА ПОДИЗПЪЛНИТЕЛ</t>
  </si>
  <si>
    <t>ИМЕ НА ПОДИЗПЪЛНИТЕЛ</t>
  </si>
  <si>
    <t>Версия № 2 / 21.08.2020</t>
  </si>
  <si>
    <t>Утвърдил: Управител (Злати Петров)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</si>
</sst>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rgb="FF00B0F0"/>
      <name val="Calibri"/>
      <family val="2"/>
      <charset val="204"/>
      <scheme val="minor"/>
    </font>
    <font>
      <b/>
      <sz val="11"/>
      <color theme="4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theme="6" tint="-0.249977111117893"/>
      <name val="Calibri"/>
      <family val="2"/>
      <charset val="204"/>
      <scheme val="minor"/>
    </font>
    <font>
      <sz val="8"/>
      <name val="Calibri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</font>
    <font>
      <sz val="8"/>
      <name val="Wingdings"/>
      <charset val="2"/>
    </font>
    <font>
      <b/>
      <u/>
      <sz val="8"/>
      <name val="Wingdings"/>
      <charset val="2"/>
    </font>
    <font>
      <b/>
      <u/>
      <sz val="8"/>
      <name val="Arial"/>
      <family val="2"/>
    </font>
    <font>
      <b/>
      <sz val="8"/>
      <name val="Calibri"/>
      <family val="2"/>
      <charset val="204"/>
      <scheme val="minor"/>
    </font>
    <font>
      <b/>
      <sz val="8"/>
      <color theme="3" tint="0.5999938962981048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 applyAlignment="1">
      <alignment horizontal="right" wrapText="1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2" fillId="0" borderId="1" xfId="0" applyFont="1" applyBorder="1"/>
    <xf numFmtId="0" fontId="3" fillId="0" borderId="1" xfId="0" applyFont="1" applyBorder="1"/>
    <xf numFmtId="0" fontId="8" fillId="0" borderId="1" xfId="0" applyFont="1" applyBorder="1" applyAlignment="1">
      <alignment horizontal="right"/>
    </xf>
    <xf numFmtId="0" fontId="2" fillId="2" borderId="1" xfId="0" applyFont="1" applyFill="1" applyBorder="1"/>
    <xf numFmtId="0" fontId="7" fillId="2" borderId="1" xfId="0" applyFont="1" applyFill="1" applyBorder="1"/>
    <xf numFmtId="0" fontId="2" fillId="0" borderId="1" xfId="0" applyFont="1" applyBorder="1" applyAlignment="1">
      <alignment wrapText="1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9" fillId="0" borderId="0" xfId="0" applyFont="1"/>
    <xf numFmtId="0" fontId="2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9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16" fillId="0" borderId="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 wrapText="1"/>
    </xf>
    <xf numFmtId="0" fontId="16" fillId="0" borderId="8" xfId="0" applyFont="1" applyBorder="1" applyAlignment="1">
      <alignment horizontal="center"/>
    </xf>
    <xf numFmtId="0" fontId="17" fillId="0" borderId="8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/>
    <xf numFmtId="0" fontId="5" fillId="0" borderId="0" xfId="0" applyFont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0</xdr:row>
          <xdr:rowOff>38100</xdr:rowOff>
        </xdr:from>
        <xdr:to>
          <xdr:col>7</xdr:col>
          <xdr:colOff>327660</xdr:colOff>
          <xdr:row>7</xdr:row>
          <xdr:rowOff>297180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0</xdr:row>
          <xdr:rowOff>0</xdr:rowOff>
        </xdr:from>
        <xdr:to>
          <xdr:col>6</xdr:col>
          <xdr:colOff>640080</xdr:colOff>
          <xdr:row>6</xdr:row>
          <xdr:rowOff>281940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0</xdr:row>
          <xdr:rowOff>83820</xdr:rowOff>
        </xdr:from>
        <xdr:to>
          <xdr:col>21</xdr:col>
          <xdr:colOff>187569</xdr:colOff>
          <xdr:row>9</xdr:row>
          <xdr:rowOff>7620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2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8:J53"/>
  <sheetViews>
    <sheetView tabSelected="1" zoomScale="120" zoomScaleNormal="120" workbookViewId="0">
      <selection activeCell="C35" sqref="C35"/>
    </sheetView>
  </sheetViews>
  <sheetFormatPr defaultRowHeight="10.199999999999999" x14ac:dyDescent="0.2"/>
  <cols>
    <col min="1" max="1" width="3.44140625" style="1" customWidth="1"/>
    <col min="2" max="2" width="42.88671875" style="1" customWidth="1"/>
    <col min="3" max="3" width="9" style="1" bestFit="1" customWidth="1"/>
    <col min="4" max="4" width="13.5546875" style="1" bestFit="1" customWidth="1"/>
    <col min="5" max="5" width="6.109375" style="1" bestFit="1" customWidth="1"/>
    <col min="6" max="6" width="5.44140625" style="1" bestFit="1" customWidth="1"/>
    <col min="7" max="7" width="10.109375" style="1" bestFit="1" customWidth="1"/>
    <col min="8" max="8" width="18.44140625" style="1" bestFit="1" customWidth="1"/>
    <col min="9" max="9" width="9.88671875" style="1" customWidth="1"/>
    <col min="10" max="10" width="8.88671875" style="1"/>
    <col min="11" max="11" width="10.88671875" style="1" customWidth="1"/>
    <col min="12" max="16384" width="8.88671875" style="1"/>
  </cols>
  <sheetData>
    <row r="8" spans="1:10" customFormat="1" ht="42" customHeight="1" x14ac:dyDescent="0.3">
      <c r="B8" s="3" t="s">
        <v>69</v>
      </c>
      <c r="H8" s="33" t="s">
        <v>48</v>
      </c>
      <c r="I8" s="33"/>
      <c r="J8" s="33"/>
    </row>
    <row r="9" spans="1:10" customFormat="1" ht="14.4" x14ac:dyDescent="0.3">
      <c r="B9" s="5" t="s">
        <v>70</v>
      </c>
      <c r="F9" s="1" t="s">
        <v>26</v>
      </c>
      <c r="H9" s="1"/>
    </row>
    <row r="10" spans="1:10" ht="20.399999999999999" x14ac:dyDescent="0.2">
      <c r="A10" s="8"/>
      <c r="B10" s="8"/>
      <c r="C10" s="4" t="s">
        <v>25</v>
      </c>
      <c r="D10" s="2" t="s">
        <v>11</v>
      </c>
      <c r="E10" s="2" t="s">
        <v>12</v>
      </c>
      <c r="F10" s="2" t="s">
        <v>13</v>
      </c>
      <c r="G10" s="2" t="s">
        <v>1</v>
      </c>
      <c r="H10" s="2" t="s">
        <v>14</v>
      </c>
      <c r="I10" s="8"/>
    </row>
    <row r="11" spans="1:10" x14ac:dyDescent="0.2">
      <c r="A11" s="8"/>
      <c r="B11" s="2" t="s">
        <v>20</v>
      </c>
      <c r="C11" s="9">
        <v>0</v>
      </c>
      <c r="D11" s="9">
        <v>1</v>
      </c>
      <c r="E11" s="9">
        <v>2</v>
      </c>
      <c r="F11" s="9">
        <v>3</v>
      </c>
      <c r="G11" s="9">
        <v>4</v>
      </c>
      <c r="H11" s="9">
        <v>5</v>
      </c>
      <c r="I11" s="10" t="s">
        <v>21</v>
      </c>
    </row>
    <row r="12" spans="1:10" x14ac:dyDescent="0.2">
      <c r="A12" s="9" t="s">
        <v>0</v>
      </c>
      <c r="B12" s="9" t="s">
        <v>19</v>
      </c>
      <c r="C12" s="11"/>
      <c r="D12" s="11"/>
      <c r="E12" s="11"/>
      <c r="F12" s="11"/>
      <c r="G12" s="11"/>
      <c r="H12" s="11"/>
      <c r="I12" s="12"/>
    </row>
    <row r="13" spans="1:10" ht="20.399999999999999" x14ac:dyDescent="0.2">
      <c r="A13" s="8" t="s">
        <v>2</v>
      </c>
      <c r="B13" s="13" t="s">
        <v>15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1</v>
      </c>
      <c r="I13" s="14">
        <f>C11*C13 + D11*D13 +E11*E13+F11*F13+G11*G13+H11*H13</f>
        <v>5</v>
      </c>
    </row>
    <row r="14" spans="1:10" ht="20.399999999999999" x14ac:dyDescent="0.2">
      <c r="A14" s="8" t="s">
        <v>3</v>
      </c>
      <c r="B14" s="13" t="s">
        <v>16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1</v>
      </c>
      <c r="I14" s="14">
        <f>C11*C14+D11*D14+E11*E14+F11*F14+G11*G14+H11*H14</f>
        <v>5</v>
      </c>
    </row>
    <row r="15" spans="1:10" ht="20.399999999999999" x14ac:dyDescent="0.2">
      <c r="A15" s="8" t="s">
        <v>4</v>
      </c>
      <c r="B15" s="13" t="s">
        <v>17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1</v>
      </c>
      <c r="I15" s="14">
        <f>C11*C15+D11*D15+E11*E15+F11*F15+G11*G15+H11*H15</f>
        <v>5</v>
      </c>
    </row>
    <row r="16" spans="1:10" ht="20.399999999999999" x14ac:dyDescent="0.2">
      <c r="A16" s="8" t="s">
        <v>5</v>
      </c>
      <c r="B16" s="13" t="s">
        <v>18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</v>
      </c>
      <c r="I16" s="14">
        <f>C11*C16+D11*D16+E11*E16+F11*F16+G11*G16+H11*H16</f>
        <v>5</v>
      </c>
    </row>
    <row r="17" spans="1:9" ht="15.75" customHeight="1" x14ac:dyDescent="0.2">
      <c r="A17" s="8" t="s">
        <v>6</v>
      </c>
      <c r="B17" s="13" t="s">
        <v>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1</v>
      </c>
      <c r="I17" s="14">
        <f>C11*C17+D11*D17+E11*E17+F11*F17+G11*G17+H11*H17</f>
        <v>5</v>
      </c>
    </row>
    <row r="18" spans="1:9" x14ac:dyDescent="0.2">
      <c r="A18" s="8" t="s">
        <v>8</v>
      </c>
      <c r="B18" s="13" t="s">
        <v>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1</v>
      </c>
      <c r="I18" s="14">
        <f>C11*C18+D11*D18+E11*E18+F11*F18+G11*G18+H11*H18</f>
        <v>5</v>
      </c>
    </row>
    <row r="19" spans="1:9" ht="20.399999999999999" x14ac:dyDescent="0.2">
      <c r="A19" s="8" t="s">
        <v>38</v>
      </c>
      <c r="B19" s="13" t="s">
        <v>63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1</v>
      </c>
      <c r="I19" s="14">
        <f>C11*C19+D11*D19+E11*E19+F11*F19+G11*G19+H11*H19</f>
        <v>5</v>
      </c>
    </row>
    <row r="20" spans="1:9" x14ac:dyDescent="0.2">
      <c r="A20" s="8"/>
      <c r="B20" s="8"/>
      <c r="C20" s="8"/>
      <c r="D20" s="8"/>
      <c r="E20" s="8"/>
      <c r="F20" s="8"/>
      <c r="G20" s="8"/>
      <c r="H20" s="8" t="s">
        <v>10</v>
      </c>
      <c r="I20" s="15">
        <f>SUM(I13:I19)</f>
        <v>35</v>
      </c>
    </row>
    <row r="21" spans="1:9" x14ac:dyDescent="0.2">
      <c r="A21" s="8"/>
      <c r="B21" s="8"/>
      <c r="C21" s="8"/>
      <c r="D21" s="8"/>
      <c r="E21" s="8"/>
      <c r="F21" s="8"/>
      <c r="G21" s="8"/>
      <c r="H21" s="16" t="s">
        <v>22</v>
      </c>
      <c r="I21" s="16">
        <f>I20/7</f>
        <v>5</v>
      </c>
    </row>
    <row r="22" spans="1:9" x14ac:dyDescent="0.2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2">
      <c r="B23" s="17" t="s">
        <v>23</v>
      </c>
    </row>
    <row r="24" spans="1:9" x14ac:dyDescent="0.2">
      <c r="B24" s="1" t="s">
        <v>65</v>
      </c>
    </row>
    <row r="25" spans="1:9" x14ac:dyDescent="0.2">
      <c r="B25" s="1" t="s">
        <v>28</v>
      </c>
    </row>
    <row r="26" spans="1:9" x14ac:dyDescent="0.2">
      <c r="B26" s="1" t="s">
        <v>28</v>
      </c>
    </row>
    <row r="27" spans="1:9" x14ac:dyDescent="0.2">
      <c r="B27" s="1" t="s">
        <v>24</v>
      </c>
    </row>
    <row r="29" spans="1:9" x14ac:dyDescent="0.2">
      <c r="B29" s="1" t="s">
        <v>29</v>
      </c>
      <c r="H29" s="1" t="s">
        <v>32</v>
      </c>
    </row>
    <row r="30" spans="1:9" ht="18" customHeight="1" x14ac:dyDescent="0.2">
      <c r="B30" s="18" t="s">
        <v>27</v>
      </c>
      <c r="H30" s="18" t="s">
        <v>27</v>
      </c>
    </row>
    <row r="31" spans="1:9" ht="27" customHeight="1" x14ac:dyDescent="0.2">
      <c r="B31" s="1" t="s">
        <v>30</v>
      </c>
      <c r="H31" s="1" t="s">
        <v>31</v>
      </c>
    </row>
    <row r="32" spans="1:9" x14ac:dyDescent="0.2">
      <c r="B32" s="18"/>
    </row>
    <row r="34" spans="2:6" ht="10.199999999999999" customHeight="1" x14ac:dyDescent="0.2">
      <c r="B34" s="19" t="s">
        <v>71</v>
      </c>
      <c r="C34" s="41" t="s">
        <v>72</v>
      </c>
      <c r="D34" s="42"/>
      <c r="E34" s="42"/>
      <c r="F34" s="43"/>
    </row>
    <row r="45" spans="2:6" ht="19.5" customHeight="1" x14ac:dyDescent="0.2"/>
    <row r="53" ht="24.75" customHeight="1" x14ac:dyDescent="0.2"/>
  </sheetData>
  <mergeCells count="2">
    <mergeCell ref="H8:J8"/>
    <mergeCell ref="C34:F34"/>
  </mergeCells>
  <pageMargins left="0.70866141732283472" right="0.11811023622047245" top="0.78740157480314965" bottom="0.31496062992125984" header="0.15748031496062992" footer="0.15748031496062992"/>
  <pageSetup paperSize="9" orientation="landscape" horizontalDpi="4294967295" verticalDpi="4294967295" r:id="rId1"/>
  <headerFooter>
    <oddHeader>&amp;R&amp;9RD12-05
за служебно ползване
версия 2/ валидно от 01.04.2011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0</xdr:col>
                <xdr:colOff>22860</xdr:colOff>
                <xdr:row>0</xdr:row>
                <xdr:rowOff>38100</xdr:rowOff>
              </from>
              <to>
                <xdr:col>7</xdr:col>
                <xdr:colOff>327660</xdr:colOff>
                <xdr:row>7</xdr:row>
                <xdr:rowOff>297180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J36"/>
  <sheetViews>
    <sheetView topLeftCell="A24" zoomScale="130" zoomScaleNormal="130" workbookViewId="0">
      <selection activeCell="C37" sqref="C37"/>
    </sheetView>
  </sheetViews>
  <sheetFormatPr defaultRowHeight="10.199999999999999" x14ac:dyDescent="0.2"/>
  <cols>
    <col min="1" max="1" width="4.88671875" style="1" customWidth="1"/>
    <col min="2" max="2" width="35.33203125" style="1" customWidth="1"/>
    <col min="3" max="3" width="11.44140625" style="1" customWidth="1"/>
    <col min="4" max="4" width="14.44140625" style="1" customWidth="1"/>
    <col min="5" max="5" width="6.33203125" style="1" customWidth="1"/>
    <col min="6" max="6" width="6.88671875" style="1" customWidth="1"/>
    <col min="7" max="7" width="9.6640625" style="1" customWidth="1"/>
    <col min="8" max="8" width="9.109375" style="1" customWidth="1"/>
    <col min="9" max="9" width="16.5546875" style="1" customWidth="1"/>
    <col min="10" max="16384" width="8.88671875" style="1"/>
  </cols>
  <sheetData>
    <row r="7" spans="1:10" ht="42" customHeight="1" x14ac:dyDescent="0.2">
      <c r="B7" s="6" t="s">
        <v>60</v>
      </c>
      <c r="H7" s="33" t="s">
        <v>48</v>
      </c>
      <c r="I7" s="33"/>
      <c r="J7" s="33"/>
    </row>
    <row r="8" spans="1:10" x14ac:dyDescent="0.2">
      <c r="B8" s="7" t="s">
        <v>61</v>
      </c>
      <c r="F8" s="1" t="s">
        <v>26</v>
      </c>
    </row>
    <row r="10" spans="1:10" ht="20.399999999999999" x14ac:dyDescent="0.2">
      <c r="A10" s="8"/>
      <c r="B10" s="8"/>
      <c r="C10" s="4" t="s">
        <v>25</v>
      </c>
      <c r="D10" s="2" t="s">
        <v>11</v>
      </c>
      <c r="E10" s="2" t="s">
        <v>12</v>
      </c>
      <c r="F10" s="2" t="s">
        <v>13</v>
      </c>
      <c r="G10" s="2" t="s">
        <v>1</v>
      </c>
      <c r="H10" s="2" t="s">
        <v>14</v>
      </c>
      <c r="I10" s="8"/>
    </row>
    <row r="11" spans="1:10" x14ac:dyDescent="0.2">
      <c r="A11" s="8"/>
      <c r="B11" s="2" t="s">
        <v>20</v>
      </c>
      <c r="C11" s="9">
        <v>0</v>
      </c>
      <c r="D11" s="9">
        <v>1</v>
      </c>
      <c r="E11" s="9">
        <v>2</v>
      </c>
      <c r="F11" s="9">
        <v>3</v>
      </c>
      <c r="G11" s="9">
        <v>4</v>
      </c>
      <c r="H11" s="9">
        <v>5</v>
      </c>
      <c r="I11" s="10" t="s">
        <v>21</v>
      </c>
    </row>
    <row r="12" spans="1:10" x14ac:dyDescent="0.2">
      <c r="A12" s="9" t="s">
        <v>0</v>
      </c>
      <c r="B12" s="9" t="s">
        <v>19</v>
      </c>
      <c r="C12" s="11"/>
      <c r="D12" s="11"/>
      <c r="E12" s="11"/>
      <c r="F12" s="11"/>
      <c r="G12" s="11"/>
      <c r="H12" s="11"/>
      <c r="I12" s="12"/>
    </row>
    <row r="13" spans="1:10" ht="30.6" x14ac:dyDescent="0.2">
      <c r="A13" s="8" t="s">
        <v>2</v>
      </c>
      <c r="B13" s="13" t="s">
        <v>44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1</v>
      </c>
      <c r="I13" s="14">
        <f>C11*C13 + D11*D13 +E11*E13+F11*F13+G11*G13+H11*H13</f>
        <v>5</v>
      </c>
    </row>
    <row r="14" spans="1:10" x14ac:dyDescent="0.2">
      <c r="A14" s="8" t="s">
        <v>3</v>
      </c>
      <c r="B14" s="13" t="s">
        <v>33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1</v>
      </c>
      <c r="I14" s="14">
        <f>C11*C14+D11*D14+E11*E14+F11*F14+G11*G14+H11*H14</f>
        <v>5</v>
      </c>
    </row>
    <row r="15" spans="1:10" x14ac:dyDescent="0.2">
      <c r="A15" s="8" t="s">
        <v>4</v>
      </c>
      <c r="B15" s="13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1</v>
      </c>
      <c r="I15" s="14">
        <f>C11*C15+D11*D15+E11*E15+F11*F15+G11*G15+H11*H15</f>
        <v>5</v>
      </c>
    </row>
    <row r="16" spans="1:10" ht="20.399999999999999" x14ac:dyDescent="0.2">
      <c r="A16" s="8" t="s">
        <v>5</v>
      </c>
      <c r="B16" s="13" t="s">
        <v>35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</v>
      </c>
      <c r="I16" s="14">
        <f>C11*C16+D11*D16+E11*E16+F11*F16+G11*G16+H11*H16</f>
        <v>5</v>
      </c>
    </row>
    <row r="17" spans="1:9" ht="20.399999999999999" x14ac:dyDescent="0.2">
      <c r="A17" s="8" t="s">
        <v>6</v>
      </c>
      <c r="B17" s="13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1</v>
      </c>
      <c r="I17" s="14">
        <f>C11*C17+D11*D17+E11*E17+F11*F17+G11*G17+H11*H17</f>
        <v>5</v>
      </c>
    </row>
    <row r="18" spans="1:9" ht="20.399999999999999" x14ac:dyDescent="0.2">
      <c r="A18" s="8" t="s">
        <v>8</v>
      </c>
      <c r="B18" s="13" t="s">
        <v>37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1</v>
      </c>
      <c r="I18" s="14">
        <f>C11*C18+D11*D18+E11*E18+F11*F18+G11*G18+H11*H18</f>
        <v>5</v>
      </c>
    </row>
    <row r="19" spans="1:9" x14ac:dyDescent="0.2">
      <c r="A19" s="8" t="s">
        <v>38</v>
      </c>
      <c r="B19" s="8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1</v>
      </c>
      <c r="I19" s="14">
        <f>C11*C19+D11*D19+E11*E19+F11*F19+G11*G19+H11*H19</f>
        <v>5</v>
      </c>
    </row>
    <row r="20" spans="1:9" x14ac:dyDescent="0.2">
      <c r="A20" s="8" t="s">
        <v>39</v>
      </c>
      <c r="B20" s="8" t="s">
        <v>42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1</v>
      </c>
      <c r="I20" s="14">
        <f>C11*C20+D11*D20+E11*E20+F11*F20+G11*G20+H11*H20</f>
        <v>5</v>
      </c>
    </row>
    <row r="21" spans="1:9" x14ac:dyDescent="0.2">
      <c r="A21" s="8" t="s">
        <v>40</v>
      </c>
      <c r="B21" s="8" t="s">
        <v>43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</v>
      </c>
      <c r="I21" s="14">
        <f>C11*C21+D11*D21+E11*E21+F11*F21+G11*G21+H11*H21</f>
        <v>5</v>
      </c>
    </row>
    <row r="22" spans="1:9" ht="20.399999999999999" x14ac:dyDescent="0.2">
      <c r="A22" s="8" t="s">
        <v>62</v>
      </c>
      <c r="B22" s="13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1</v>
      </c>
      <c r="I22" s="14">
        <f>C11*C22+D11*D22+E11*E22+F11*F22+G11*G22+H11*H22</f>
        <v>5</v>
      </c>
    </row>
    <row r="23" spans="1:9" x14ac:dyDescent="0.2">
      <c r="A23" s="8"/>
      <c r="B23" s="8"/>
      <c r="C23" s="8"/>
      <c r="D23" s="8"/>
      <c r="E23" s="8"/>
      <c r="F23" s="8"/>
      <c r="G23" s="8"/>
      <c r="H23" s="31" t="s">
        <v>10</v>
      </c>
      <c r="I23" s="31">
        <f>SUM(I13:I22)</f>
        <v>50</v>
      </c>
    </row>
    <row r="24" spans="1:9" x14ac:dyDescent="0.2">
      <c r="A24" s="8"/>
      <c r="B24" s="8"/>
      <c r="C24" s="8"/>
      <c r="D24" s="8"/>
      <c r="E24" s="8"/>
      <c r="F24" s="8"/>
      <c r="G24" s="8"/>
      <c r="H24" s="32" t="s">
        <v>22</v>
      </c>
      <c r="I24" s="32">
        <f>I23/10</f>
        <v>5</v>
      </c>
    </row>
    <row r="25" spans="1:9" x14ac:dyDescent="0.2">
      <c r="B25" s="17" t="s">
        <v>23</v>
      </c>
    </row>
    <row r="26" spans="1:9" x14ac:dyDescent="0.2">
      <c r="B26" s="1" t="s">
        <v>47</v>
      </c>
    </row>
    <row r="27" spans="1:9" x14ac:dyDescent="0.2">
      <c r="B27" s="1" t="s">
        <v>45</v>
      </c>
    </row>
    <row r="28" spans="1:9" x14ac:dyDescent="0.2">
      <c r="B28" s="1" t="s">
        <v>46</v>
      </c>
    </row>
    <row r="29" spans="1:9" x14ac:dyDescent="0.2">
      <c r="B29" s="1" t="s">
        <v>24</v>
      </c>
    </row>
    <row r="31" spans="1:9" x14ac:dyDescent="0.2">
      <c r="B31" s="1" t="s">
        <v>29</v>
      </c>
      <c r="H31" s="1" t="s">
        <v>32</v>
      </c>
    </row>
    <row r="32" spans="1:9" x14ac:dyDescent="0.2">
      <c r="B32" s="18" t="s">
        <v>27</v>
      </c>
      <c r="H32" s="18" t="s">
        <v>27</v>
      </c>
    </row>
    <row r="33" spans="2:8" x14ac:dyDescent="0.2">
      <c r="B33" s="1" t="s">
        <v>30</v>
      </c>
      <c r="H33" s="1" t="s">
        <v>31</v>
      </c>
    </row>
    <row r="34" spans="2:8" x14ac:dyDescent="0.2">
      <c r="B34" s="18"/>
    </row>
    <row r="36" spans="2:8" ht="10.199999999999999" customHeight="1" x14ac:dyDescent="0.2">
      <c r="B36" s="19" t="s">
        <v>71</v>
      </c>
      <c r="C36" s="41" t="s">
        <v>72</v>
      </c>
      <c r="D36" s="42"/>
      <c r="E36" s="42"/>
      <c r="F36" s="43"/>
    </row>
  </sheetData>
  <mergeCells count="2">
    <mergeCell ref="H7:J7"/>
    <mergeCell ref="C36:F36"/>
  </mergeCells>
  <pageMargins left="0.31496062992125984" right="0.31496062992125984" top="0.7" bottom="0.28999999999999998" header="0.18" footer="0.21"/>
  <pageSetup paperSize="9" orientation="landscape" horizontalDpi="4294967295" verticalDpi="4294967295" r:id="rId1"/>
  <headerFooter>
    <oddHeader>&amp;R&amp;9RD12-05
за служебно ползване
версия 2/ валидно от 01.04.2011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>
              <from>
                <xdr:col>0</xdr:col>
                <xdr:colOff>160020</xdr:colOff>
                <xdr:row>0</xdr:row>
                <xdr:rowOff>0</xdr:rowOff>
              </from>
              <to>
                <xdr:col>6</xdr:col>
                <xdr:colOff>640080</xdr:colOff>
                <xdr:row>6</xdr:row>
                <xdr:rowOff>281940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1:Y21"/>
  <sheetViews>
    <sheetView topLeftCell="A11" zoomScale="130" zoomScaleNormal="130" workbookViewId="0">
      <selection activeCell="C22" sqref="C22"/>
    </sheetView>
  </sheetViews>
  <sheetFormatPr defaultRowHeight="10.199999999999999" x14ac:dyDescent="0.2"/>
  <cols>
    <col min="1" max="1" width="3.44140625" style="1" customWidth="1"/>
    <col min="2" max="2" width="16.5546875" style="1" customWidth="1"/>
    <col min="3" max="3" width="11.5546875" style="1" customWidth="1"/>
    <col min="4" max="4" width="8.6640625" style="1" customWidth="1"/>
    <col min="5" max="5" width="3" style="1" bestFit="1" customWidth="1"/>
    <col min="6" max="6" width="4.44140625" style="1" bestFit="1" customWidth="1"/>
    <col min="7" max="7" width="3" style="1" bestFit="1" customWidth="1"/>
    <col min="8" max="8" width="4.44140625" style="1" bestFit="1" customWidth="1"/>
    <col min="9" max="9" width="3" style="1" bestFit="1" customWidth="1"/>
    <col min="10" max="10" width="5.5546875" style="1" bestFit="1" customWidth="1"/>
    <col min="11" max="11" width="3" style="1" bestFit="1" customWidth="1"/>
    <col min="12" max="12" width="4.44140625" style="1" bestFit="1" customWidth="1"/>
    <col min="13" max="13" width="3" style="1" bestFit="1" customWidth="1"/>
    <col min="14" max="14" width="4.44140625" style="1" bestFit="1" customWidth="1"/>
    <col min="15" max="15" width="3" style="1" bestFit="1" customWidth="1"/>
    <col min="16" max="16" width="4.44140625" style="1" bestFit="1" customWidth="1"/>
    <col min="17" max="17" width="2.88671875" style="1" bestFit="1" customWidth="1"/>
    <col min="18" max="18" width="4.44140625" style="1" bestFit="1" customWidth="1"/>
    <col min="19" max="19" width="4.109375" style="1" customWidth="1"/>
    <col min="20" max="20" width="4.6640625" style="1" customWidth="1"/>
    <col min="21" max="21" width="3.6640625" style="1" customWidth="1"/>
    <col min="22" max="22" width="5.109375" style="1" customWidth="1"/>
    <col min="23" max="23" width="4" style="1" bestFit="1" customWidth="1"/>
    <col min="24" max="24" width="5.5546875" style="1" bestFit="1" customWidth="1"/>
    <col min="25" max="16384" width="8.88671875" style="1"/>
  </cols>
  <sheetData>
    <row r="11" spans="1:25" x14ac:dyDescent="0.2">
      <c r="Q11" s="20"/>
      <c r="R11" s="20"/>
      <c r="S11" s="20" t="s">
        <v>58</v>
      </c>
      <c r="T11" s="20"/>
      <c r="U11" s="20"/>
    </row>
    <row r="12" spans="1:25" x14ac:dyDescent="0.2">
      <c r="Q12" s="20"/>
      <c r="R12" s="20"/>
      <c r="S12" s="20"/>
      <c r="T12" s="20"/>
      <c r="U12" s="20"/>
    </row>
    <row r="13" spans="1:25" x14ac:dyDescent="0.2">
      <c r="Q13" s="20"/>
      <c r="R13" s="20"/>
      <c r="S13" s="21" t="s">
        <v>55</v>
      </c>
      <c r="T13" s="21" t="s">
        <v>56</v>
      </c>
      <c r="U13" s="21"/>
    </row>
    <row r="14" spans="1:25" ht="10.8" thickBot="1" x14ac:dyDescent="0.25">
      <c r="Q14" s="21"/>
      <c r="R14" s="22"/>
      <c r="S14" s="21"/>
      <c r="T14" s="21"/>
      <c r="U14" s="21"/>
    </row>
    <row r="15" spans="1:25" ht="36.75" customHeight="1" thickBot="1" x14ac:dyDescent="0.25">
      <c r="A15" s="34" t="s">
        <v>49</v>
      </c>
      <c r="B15" s="34" t="s">
        <v>50</v>
      </c>
      <c r="C15" s="36" t="s">
        <v>57</v>
      </c>
      <c r="D15" s="36" t="s">
        <v>51</v>
      </c>
      <c r="E15" s="38" t="s">
        <v>52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23"/>
      <c r="X15" s="8"/>
      <c r="Y15" s="24" t="s">
        <v>53</v>
      </c>
    </row>
    <row r="16" spans="1:25" ht="37.5" customHeight="1" thickBot="1" x14ac:dyDescent="0.25">
      <c r="A16" s="35"/>
      <c r="B16" s="35"/>
      <c r="C16" s="37"/>
      <c r="D16" s="37"/>
      <c r="E16" s="25" t="s">
        <v>2</v>
      </c>
      <c r="F16" s="25" t="s">
        <v>54</v>
      </c>
      <c r="G16" s="25" t="s">
        <v>3</v>
      </c>
      <c r="H16" s="25" t="s">
        <v>54</v>
      </c>
      <c r="I16" s="25" t="s">
        <v>4</v>
      </c>
      <c r="J16" s="25" t="s">
        <v>54</v>
      </c>
      <c r="K16" s="25" t="s">
        <v>5</v>
      </c>
      <c r="L16" s="25" t="s">
        <v>54</v>
      </c>
      <c r="M16" s="25" t="s">
        <v>6</v>
      </c>
      <c r="N16" s="25" t="s">
        <v>54</v>
      </c>
      <c r="O16" s="25" t="s">
        <v>8</v>
      </c>
      <c r="P16" s="25" t="s">
        <v>54</v>
      </c>
      <c r="Q16" s="25" t="s">
        <v>38</v>
      </c>
      <c r="R16" s="25" t="s">
        <v>54</v>
      </c>
      <c r="S16" s="25" t="s">
        <v>39</v>
      </c>
      <c r="T16" s="25" t="s">
        <v>54</v>
      </c>
      <c r="U16" s="25" t="s">
        <v>40</v>
      </c>
      <c r="V16" s="25" t="s">
        <v>54</v>
      </c>
      <c r="W16" s="25" t="s">
        <v>64</v>
      </c>
      <c r="X16" s="26" t="s">
        <v>54</v>
      </c>
      <c r="Y16" s="27"/>
    </row>
    <row r="17" spans="1:25" ht="20.399999999999999" x14ac:dyDescent="0.2">
      <c r="A17" s="28"/>
      <c r="B17" s="29" t="s">
        <v>66</v>
      </c>
      <c r="C17" s="28"/>
      <c r="D17" s="28"/>
      <c r="E17" s="28" t="s">
        <v>59</v>
      </c>
      <c r="F17" s="28">
        <v>5</v>
      </c>
      <c r="G17" s="28" t="s">
        <v>59</v>
      </c>
      <c r="H17" s="28">
        <v>5</v>
      </c>
      <c r="I17" s="28" t="s">
        <v>59</v>
      </c>
      <c r="J17" s="28">
        <v>5</v>
      </c>
      <c r="K17" s="28" t="s">
        <v>59</v>
      </c>
      <c r="L17" s="28">
        <v>5</v>
      </c>
      <c r="M17" s="28" t="s">
        <v>59</v>
      </c>
      <c r="N17" s="28">
        <v>5</v>
      </c>
      <c r="O17" s="28" t="s">
        <v>59</v>
      </c>
      <c r="P17" s="28">
        <v>5</v>
      </c>
      <c r="Q17" s="28" t="s">
        <v>59</v>
      </c>
      <c r="R17" s="28">
        <v>5</v>
      </c>
      <c r="S17" s="28" t="s">
        <v>59</v>
      </c>
      <c r="T17" s="28">
        <v>5</v>
      </c>
      <c r="U17" s="28" t="s">
        <v>59</v>
      </c>
      <c r="V17" s="28">
        <v>5</v>
      </c>
      <c r="W17" s="28" t="s">
        <v>59</v>
      </c>
      <c r="X17" s="28">
        <v>5</v>
      </c>
      <c r="Y17" s="28">
        <f>SUM(E17:X17)/9</f>
        <v>5.5555555555555554</v>
      </c>
    </row>
    <row r="18" spans="1:25" ht="31.5" customHeight="1" x14ac:dyDescent="0.2">
      <c r="A18" s="30"/>
      <c r="B18" s="29" t="s">
        <v>67</v>
      </c>
      <c r="C18" s="30"/>
      <c r="D18" s="30"/>
      <c r="E18" s="30" t="s">
        <v>59</v>
      </c>
      <c r="F18" s="30">
        <v>5</v>
      </c>
      <c r="G18" s="30" t="s">
        <v>59</v>
      </c>
      <c r="H18" s="30">
        <v>5</v>
      </c>
      <c r="I18" s="30" t="s">
        <v>59</v>
      </c>
      <c r="J18" s="30">
        <v>5</v>
      </c>
      <c r="K18" s="30" t="s">
        <v>59</v>
      </c>
      <c r="L18" s="30">
        <v>5</v>
      </c>
      <c r="M18" s="30" t="s">
        <v>59</v>
      </c>
      <c r="N18" s="30">
        <v>5</v>
      </c>
      <c r="O18" s="30" t="s">
        <v>59</v>
      </c>
      <c r="P18" s="30">
        <v>5</v>
      </c>
      <c r="Q18" s="30"/>
      <c r="R18" s="30"/>
      <c r="S18" s="30"/>
      <c r="T18" s="30"/>
      <c r="U18" s="30"/>
      <c r="V18" s="30"/>
      <c r="W18" s="30"/>
      <c r="X18" s="30"/>
      <c r="Y18" s="28">
        <f>SUM(E18:P18)/6</f>
        <v>5</v>
      </c>
    </row>
    <row r="19" spans="1:25" ht="20.399999999999999" x14ac:dyDescent="0.2">
      <c r="A19" s="30"/>
      <c r="B19" s="29" t="s">
        <v>68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28">
        <f t="shared" ref="Y19" si="0">(E19*F19+G19*H19+I19*J19+K19*L19+M19*N19+O19*P19+Q19*R19+S19*T19+W19*X19)/9</f>
        <v>0</v>
      </c>
    </row>
    <row r="21" spans="1:25" ht="15" customHeight="1" x14ac:dyDescent="0.2">
      <c r="B21" s="19" t="s">
        <v>71</v>
      </c>
      <c r="C21" s="41" t="s">
        <v>72</v>
      </c>
      <c r="D21" s="42"/>
      <c r="E21" s="42"/>
      <c r="F21" s="42"/>
      <c r="G21" s="42"/>
      <c r="H21" s="42"/>
      <c r="I21" s="43"/>
    </row>
  </sheetData>
  <mergeCells count="6">
    <mergeCell ref="C21:I21"/>
    <mergeCell ref="A15:A16"/>
    <mergeCell ref="B15:B16"/>
    <mergeCell ref="C15:C16"/>
    <mergeCell ref="D15:D16"/>
    <mergeCell ref="E15:V15"/>
  </mergeCells>
  <pageMargins left="0.19685039370078741" right="0.15748031496062992" top="0.74803149606299213" bottom="0.35433070866141736" header="0.31496062992125984" footer="0.31496062992125984"/>
  <pageSetup paperSize="9" scale="90" orientation="landscape" horizontalDpi="4294967295" verticalDpi="4294967295" r:id="rId1"/>
  <headerFooter>
    <oddHeader xml:space="preserve">&amp;C&amp;"-,Bold"&amp;8РД12-05&amp;11 Списък на доставчици/подизпълнители   
&amp;8версия 2/01.04.2011&amp;"-,Regular"&amp;11
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45720</xdr:colOff>
                <xdr:row>0</xdr:row>
                <xdr:rowOff>83820</xdr:rowOff>
              </from>
              <to>
                <xdr:col>21</xdr:col>
                <xdr:colOff>190500</xdr:colOff>
                <xdr:row>9</xdr:row>
                <xdr:rowOff>7620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F04B98-F8B2-4132-A6B0-DF41A1C3BD4F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9F89427-8EF6-42BC-8FA5-3E79E9F02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AA5FB5-DB58-4166-9D3F-EDEB2FA410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sub_contractors</vt:lpstr>
      <vt:lpstr>suppliers</vt:lpstr>
      <vt:lpstr>List of suppliers</vt:lpstr>
      <vt:lpstr>'List of suppliers'!Print_Area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Оценка на подизпълнител съгласно приетата методика</dc:title>
  <dc:creator>tatiana.dragolova</dc:creator>
  <cp:lastModifiedBy>Alexander Atanassov</cp:lastModifiedBy>
  <cp:lastPrinted>2015-08-14T11:43:45Z</cp:lastPrinted>
  <dcterms:created xsi:type="dcterms:W3CDTF">2009-11-13T07:42:14Z</dcterms:created>
  <dcterms:modified xsi:type="dcterms:W3CDTF">2020-09-21T10:07:17Z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